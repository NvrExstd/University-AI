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F2ADA4EF-CCBD-4261-9ABB-8E542C7051A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B18" i="1"/>
  <c r="A18" i="1"/>
  <c r="E18" i="1" l="1"/>
  <c r="C11" i="1"/>
  <c r="C15" i="1"/>
  <c r="E11" i="1"/>
  <c r="E15" i="1"/>
  <c r="D11" i="1"/>
  <c r="D15" i="1"/>
  <c r="B21" i="1"/>
  <c r="D34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8" i="1" l="1"/>
  <c r="F18" i="1" s="1"/>
  <c r="A21" i="1" l="1"/>
</calcChain>
</file>

<file path=xl/sharedStrings.xml><?xml version="1.0" encoding="utf-8"?>
<sst xmlns="http://schemas.openxmlformats.org/spreadsheetml/2006/main" count="32" uniqueCount="26">
  <si>
    <t>x</t>
  </si>
  <si>
    <t>y</t>
  </si>
  <si>
    <t>x ср</t>
  </si>
  <si>
    <t>y ср</t>
  </si>
  <si>
    <t>xy</t>
  </si>
  <si>
    <t>x^2</t>
  </si>
  <si>
    <t>y^2</t>
  </si>
  <si>
    <t>cov(x,y)</t>
  </si>
  <si>
    <t>var x</t>
  </si>
  <si>
    <t>var y</t>
  </si>
  <si>
    <t>r(x,y)</t>
  </si>
  <si>
    <t>Необходим тест</t>
  </si>
  <si>
    <t>t выб</t>
  </si>
  <si>
    <t>t крит</t>
  </si>
  <si>
    <t>&gt;</t>
  </si>
  <si>
    <t>Существует положительная зависимость</t>
  </si>
  <si>
    <t>1. Взять любые данные из файла (последнее значение x брать не нужно).</t>
  </si>
  <si>
    <t>2. Посчитать: x ср, y ср, cov(x,y), var x, var y, r(x,y)</t>
  </si>
  <si>
    <t>3. Проанализировать полученные данные и если будет необходимость провести тест.</t>
  </si>
  <si>
    <t>4. Сделать вывод о существовании зависимости и ее характере.</t>
  </si>
  <si>
    <r>
      <rPr>
        <sz val="11"/>
        <color theme="1"/>
        <rFont val="Symbol"/>
        <family val="1"/>
        <charset val="2"/>
      </rPr>
      <t>a=</t>
    </r>
    <r>
      <rPr>
        <sz val="11"/>
        <color theme="1"/>
        <rFont val="Calibri"/>
        <family val="2"/>
      </rPr>
      <t>0,05</t>
    </r>
  </si>
  <si>
    <t>Задание 1</t>
  </si>
  <si>
    <t>Задание 3</t>
  </si>
  <si>
    <t>Задание 4</t>
  </si>
  <si>
    <t xml:space="preserve">Если r(x,y) = - 0,96, это означает сильную отрицательную линейную зависимость x и y.  </t>
  </si>
  <si>
    <t xml:space="preserve">Если y уменьшается, то x - увеличиваться.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</si>
</sst>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0" borderId="0" xfId="0" applyFont="1"/>
    <xf numFmtId="0" fontId="0" fillId="0" borderId="2" xfId="0" applyBorder="1"/>
    <xf numFmtId="0" fontId="0" fillId="7" borderId="1" xfId="0" applyFill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="130" zoomScaleNormal="130" workbookViewId="0">
      <selection activeCell="H11" sqref="H11"/>
    </sheetView>
  </sheetViews>
  <sheetFormatPr defaultRowHeight="15" x14ac:dyDescent="0.25"/>
  <sheetData>
    <row r="1" spans="1:5" x14ac:dyDescent="0.25">
      <c r="A1" s="17" t="s">
        <v>21</v>
      </c>
    </row>
    <row r="3" spans="1:5" x14ac:dyDescent="0.25">
      <c r="A3" s="3" t="s">
        <v>0</v>
      </c>
      <c r="B3" s="3" t="s">
        <v>1</v>
      </c>
      <c r="C3" s="4" t="s">
        <v>4</v>
      </c>
      <c r="D3" s="6" t="s">
        <v>5</v>
      </c>
      <c r="E3" s="8" t="s">
        <v>6</v>
      </c>
    </row>
    <row r="4" spans="1:5" x14ac:dyDescent="0.25">
      <c r="A4" s="2">
        <v>5020</v>
      </c>
      <c r="B4" s="2">
        <v>140</v>
      </c>
      <c r="C4" s="2">
        <f>A4*B4</f>
        <v>702800</v>
      </c>
      <c r="D4" s="2">
        <f>A4*A4</f>
        <v>25200400</v>
      </c>
      <c r="E4" s="2">
        <f>B4*B4</f>
        <v>19600</v>
      </c>
    </row>
    <row r="5" spans="1:5" x14ac:dyDescent="0.25">
      <c r="A5" s="2">
        <v>5400</v>
      </c>
      <c r="B5" s="2">
        <v>150</v>
      </c>
      <c r="C5" s="2">
        <f t="shared" ref="C5:C11" si="0">A5*B5</f>
        <v>810000</v>
      </c>
      <c r="D5" s="2">
        <f t="shared" ref="D5:D11" si="1">A5*A5</f>
        <v>29160000</v>
      </c>
      <c r="E5" s="2">
        <f t="shared" ref="E5:E11" si="2">B5*B5</f>
        <v>22500</v>
      </c>
    </row>
    <row r="6" spans="1:5" x14ac:dyDescent="0.25">
      <c r="A6" s="2">
        <v>6700</v>
      </c>
      <c r="B6" s="2">
        <v>200</v>
      </c>
      <c r="C6" s="2">
        <f t="shared" si="0"/>
        <v>1340000</v>
      </c>
      <c r="D6" s="2">
        <f t="shared" si="1"/>
        <v>44890000</v>
      </c>
      <c r="E6" s="2">
        <f t="shared" si="2"/>
        <v>40000</v>
      </c>
    </row>
    <row r="7" spans="1:5" x14ac:dyDescent="0.25">
      <c r="A7" s="2">
        <v>8100</v>
      </c>
      <c r="B7" s="2">
        <v>750</v>
      </c>
      <c r="C7" s="2">
        <f t="shared" si="0"/>
        <v>6075000</v>
      </c>
      <c r="D7" s="2">
        <f t="shared" si="1"/>
        <v>65610000</v>
      </c>
      <c r="E7" s="2">
        <f t="shared" si="2"/>
        <v>562500</v>
      </c>
    </row>
    <row r="8" spans="1:5" x14ac:dyDescent="0.25">
      <c r="A8" s="2">
        <v>7100</v>
      </c>
      <c r="B8" s="2">
        <v>400</v>
      </c>
      <c r="C8" s="2">
        <f t="shared" si="0"/>
        <v>2840000</v>
      </c>
      <c r="D8" s="2">
        <f t="shared" si="1"/>
        <v>50410000</v>
      </c>
      <c r="E8" s="2">
        <f t="shared" si="2"/>
        <v>160000</v>
      </c>
    </row>
    <row r="9" spans="1:5" x14ac:dyDescent="0.25">
      <c r="A9" s="2">
        <v>8300</v>
      </c>
      <c r="B9" s="2">
        <v>500</v>
      </c>
      <c r="C9" s="2">
        <f t="shared" si="0"/>
        <v>4150000</v>
      </c>
      <c r="D9" s="2">
        <f t="shared" si="1"/>
        <v>68890000</v>
      </c>
      <c r="E9" s="2">
        <f t="shared" si="2"/>
        <v>250000</v>
      </c>
    </row>
    <row r="10" spans="1:5" x14ac:dyDescent="0.25">
      <c r="A10" s="2">
        <v>6520</v>
      </c>
      <c r="B10" s="2">
        <v>450</v>
      </c>
      <c r="C10" s="2">
        <f t="shared" si="0"/>
        <v>2934000</v>
      </c>
      <c r="D10" s="2">
        <f t="shared" si="1"/>
        <v>42510400</v>
      </c>
      <c r="E10" s="2">
        <f t="shared" si="2"/>
        <v>202500</v>
      </c>
    </row>
    <row r="11" spans="1:5" x14ac:dyDescent="0.25">
      <c r="A11" s="18">
        <v>5400</v>
      </c>
      <c r="B11" s="18">
        <v>390</v>
      </c>
      <c r="C11" s="18">
        <f t="shared" si="0"/>
        <v>2106000</v>
      </c>
      <c r="D11" s="18">
        <f t="shared" si="1"/>
        <v>29160000</v>
      </c>
      <c r="E11" s="18">
        <f t="shared" si="2"/>
        <v>152100</v>
      </c>
    </row>
    <row r="15" spans="1:5" x14ac:dyDescent="0.25">
      <c r="C15" s="5">
        <f>AVERAGE(C4:C11)</f>
        <v>2619725</v>
      </c>
      <c r="D15" s="7">
        <f>AVERAGE(D4:D11)</f>
        <v>44478850</v>
      </c>
      <c r="E15" s="9">
        <f>AVERAGE(E4:E11)</f>
        <v>176150</v>
      </c>
    </row>
    <row r="17" spans="1:14" x14ac:dyDescent="0.25">
      <c r="A17" s="10" t="s">
        <v>2</v>
      </c>
      <c r="B17" s="10" t="s">
        <v>3</v>
      </c>
      <c r="C17" s="11" t="s">
        <v>7</v>
      </c>
      <c r="D17" s="11" t="s">
        <v>8</v>
      </c>
      <c r="E17" s="11" t="s">
        <v>9</v>
      </c>
      <c r="F17" s="11" t="s">
        <v>10</v>
      </c>
      <c r="H17" s="13">
        <v>-1</v>
      </c>
      <c r="I17" s="13"/>
      <c r="J17" s="13"/>
      <c r="K17" s="13">
        <v>0</v>
      </c>
      <c r="L17" s="13"/>
      <c r="M17" s="13"/>
      <c r="N17" s="13">
        <v>1</v>
      </c>
    </row>
    <row r="18" spans="1:14" x14ac:dyDescent="0.25">
      <c r="A18" s="1">
        <f>AVERAGE(A4:A11)</f>
        <v>6567.5</v>
      </c>
      <c r="B18" s="1">
        <f>AVERAGE(B4:B11)</f>
        <v>372.5</v>
      </c>
      <c r="C18" s="2">
        <f>C15-(A18*B18)</f>
        <v>173331.25</v>
      </c>
      <c r="D18" s="2">
        <f>D15-A18^2</f>
        <v>1346793.75</v>
      </c>
      <c r="E18" s="2">
        <f>E15-B18^2</f>
        <v>37393.75</v>
      </c>
      <c r="F18" s="2">
        <f>C18/(D18*E18)^0.5</f>
        <v>0.77237251821172526</v>
      </c>
      <c r="M18" s="14">
        <v>0.77</v>
      </c>
    </row>
    <row r="19" spans="1:14" x14ac:dyDescent="0.25">
      <c r="M19" t="s">
        <v>11</v>
      </c>
    </row>
    <row r="20" spans="1:14" x14ac:dyDescent="0.25">
      <c r="A20" s="12" t="s">
        <v>12</v>
      </c>
      <c r="B20" s="12" t="s">
        <v>13</v>
      </c>
    </row>
    <row r="21" spans="1:14" x14ac:dyDescent="0.25">
      <c r="A21">
        <f>(F18*(5^0.5))/(1-F18^2)^0.5</f>
        <v>2.7190798673812639</v>
      </c>
      <c r="B21">
        <f>_xlfn.T.INV.2T(0.05,5)</f>
        <v>2.570581835636315</v>
      </c>
      <c r="D21" s="16" t="s">
        <v>20</v>
      </c>
    </row>
    <row r="23" spans="1:14" x14ac:dyDescent="0.25">
      <c r="A23" s="12" t="s">
        <v>12</v>
      </c>
      <c r="B23" t="s">
        <v>14</v>
      </c>
      <c r="C23" s="12" t="s">
        <v>13</v>
      </c>
      <c r="D23" s="12" t="s">
        <v>15</v>
      </c>
      <c r="E23" s="15"/>
      <c r="F23" s="12"/>
      <c r="G23" s="12"/>
    </row>
    <row r="26" spans="1:14" x14ac:dyDescent="0.25">
      <c r="A26" t="s">
        <v>16</v>
      </c>
    </row>
    <row r="27" spans="1:14" x14ac:dyDescent="0.25">
      <c r="A27" t="s">
        <v>17</v>
      </c>
    </row>
    <row r="28" spans="1:14" x14ac:dyDescent="0.25">
      <c r="A28" t="s">
        <v>18</v>
      </c>
    </row>
    <row r="29" spans="1:14" x14ac:dyDescent="0.25">
      <c r="A29" t="s">
        <v>19</v>
      </c>
    </row>
    <row r="31" spans="1:14" x14ac:dyDescent="0.25">
      <c r="A31" s="17" t="s">
        <v>22</v>
      </c>
    </row>
    <row r="33" spans="1:4" x14ac:dyDescent="0.25">
      <c r="A33" s="11" t="s">
        <v>7</v>
      </c>
      <c r="B33" s="11" t="s">
        <v>9</v>
      </c>
      <c r="C33" s="11" t="s">
        <v>10</v>
      </c>
      <c r="D33" s="11" t="s">
        <v>8</v>
      </c>
    </row>
    <row r="34" spans="1:4" x14ac:dyDescent="0.25">
      <c r="A34" s="2">
        <v>15.286</v>
      </c>
      <c r="B34" s="2">
        <v>204</v>
      </c>
      <c r="C34" s="2">
        <v>0.53500000000000003</v>
      </c>
      <c r="D34" s="2">
        <f>(A34/(C34*SQRT(B34)))^2</f>
        <v>4.0017502342014621</v>
      </c>
    </row>
    <row r="36" spans="1:4" x14ac:dyDescent="0.25">
      <c r="A36" s="17" t="s">
        <v>23</v>
      </c>
    </row>
    <row r="37" spans="1:4" x14ac:dyDescent="0.25">
      <c r="A37" t="s">
        <v>24</v>
      </c>
    </row>
    <row r="38" spans="1:4" x14ac:dyDescent="0.25">
      <c r="A38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2025-10-06T17:21:58Z</dcterms:modified>
</cp:coreProperties>
</file>