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E8159553-3422-40E5-AA67-A29C74CE493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39" i="1" l="1" a="1"/>
  <c r="V39" i="1" s="1"/>
  <c r="P39" i="1" a="1"/>
  <c r="P39" i="1" s="1"/>
  <c r="B55" i="1" l="1"/>
  <c r="B47" i="1"/>
  <c r="B46" i="1"/>
  <c r="B48" i="1" s="1"/>
  <c r="B36" i="1"/>
  <c r="B26" i="1"/>
  <c r="B27" i="1" s="1"/>
  <c r="B40" i="1" s="1"/>
  <c r="B21" i="1"/>
  <c r="O12" i="1" s="1"/>
  <c r="A21" i="1"/>
  <c r="B18" i="1"/>
  <c r="A18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E15" i="1" s="1"/>
  <c r="E18" i="1" s="1"/>
  <c r="D5" i="1"/>
  <c r="C5" i="1"/>
  <c r="E4" i="1"/>
  <c r="D4" i="1"/>
  <c r="D15" i="1" s="1"/>
  <c r="D18" i="1" s="1"/>
  <c r="N4" i="1" s="1"/>
  <c r="C4" i="1"/>
  <c r="C15" i="1" s="1"/>
  <c r="C18" i="1" s="1"/>
  <c r="F18" i="1" l="1"/>
  <c r="F8" i="1" l="1"/>
  <c r="G8" i="1" s="1"/>
  <c r="F6" i="1"/>
  <c r="G6" i="1" s="1"/>
  <c r="B12" i="1"/>
  <c r="F11" i="1"/>
  <c r="G11" i="1" s="1"/>
  <c r="F5" i="1"/>
  <c r="G5" i="1" s="1"/>
  <c r="F9" i="1"/>
  <c r="G9" i="1" s="1"/>
  <c r="F4" i="1"/>
  <c r="G4" i="1" s="1"/>
  <c r="I4" i="1" s="1"/>
  <c r="B32" i="1" s="1"/>
  <c r="B34" i="1" s="1"/>
  <c r="F7" i="1"/>
  <c r="G7" i="1" s="1"/>
  <c r="F10" i="1"/>
  <c r="G10" i="1" s="1"/>
  <c r="J4" i="1" l="1"/>
  <c r="B50" i="1" s="1"/>
  <c r="B52" i="1" s="1"/>
  <c r="C52" i="1" s="1"/>
  <c r="H54" i="1" l="1"/>
  <c r="F54" i="1"/>
  <c r="M4" i="1"/>
  <c r="L4" i="1" s="1"/>
  <c r="O11" i="1" s="1"/>
  <c r="K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<sst xmlns="http://schemas.openxmlformats.org/spreadsheetml/2006/main" count="128" uniqueCount="96">
  <si>
    <t>x</t>
  </si>
  <si>
    <t>y</t>
  </si>
  <si>
    <t>x ср</t>
  </si>
  <si>
    <t>y ср</t>
  </si>
  <si>
    <t>xy</t>
  </si>
  <si>
    <t>x^2</t>
  </si>
  <si>
    <t>y^2</t>
  </si>
  <si>
    <t>cov(x,y)</t>
  </si>
  <si>
    <t>var x</t>
  </si>
  <si>
    <t>var y</t>
  </si>
  <si>
    <t>r(x,y)</t>
  </si>
  <si>
    <t>Необходим тест</t>
  </si>
  <si>
    <t>t выб</t>
  </si>
  <si>
    <t>t крит</t>
  </si>
  <si>
    <t>&gt;</t>
  </si>
  <si>
    <t>Существует положительная зависимость</t>
  </si>
  <si>
    <r>
      <rPr>
        <sz val="11"/>
        <color theme="1"/>
        <rFont val="Symbol"/>
        <family val="1"/>
        <charset val="2"/>
      </rPr>
      <t>a=</t>
    </r>
    <r>
      <rPr>
        <sz val="11"/>
        <color theme="1"/>
        <rFont val="Calibri"/>
        <family val="2"/>
      </rPr>
      <t>0,05</t>
    </r>
  </si>
  <si>
    <t>b1</t>
  </si>
  <si>
    <t>b0</t>
  </si>
  <si>
    <t>Уравнение регрессии</t>
  </si>
  <si>
    <t>y^</t>
  </si>
  <si>
    <t>e</t>
  </si>
  <si>
    <r>
      <t>var</t>
    </r>
    <r>
      <rPr>
        <b/>
        <sz val="11"/>
        <color theme="1"/>
        <rFont val="Calibri"/>
        <family val="2"/>
        <charset val="204"/>
        <scheme val="minor"/>
      </rPr>
      <t>(e)</t>
    </r>
  </si>
  <si>
    <t>s^2</t>
  </si>
  <si>
    <t>s.e.(b0)</t>
  </si>
  <si>
    <t>s.e.(b1)</t>
  </si>
  <si>
    <t>s^2/n</t>
  </si>
  <si>
    <t>1+(x ср^2/var x)</t>
  </si>
  <si>
    <t>Задание 1</t>
  </si>
  <si>
    <t>lt выбl</t>
  </si>
  <si>
    <t>Ib1I</t>
  </si>
  <si>
    <t>0,1Ib1I</t>
  </si>
  <si>
    <t>Задание 3</t>
  </si>
  <si>
    <t>попадает в зону неопределённости (необходим тест)</t>
  </si>
  <si>
    <t>Задание 4</t>
  </si>
  <si>
    <t>R^2</t>
  </si>
  <si>
    <t>Необходимо провести дополнительный тест</t>
  </si>
  <si>
    <t>Fвыб</t>
  </si>
  <si>
    <t>Fкрит</t>
  </si>
  <si>
    <t>&lt;</t>
  </si>
  <si>
    <t>Точечный прогноз</t>
  </si>
  <si>
    <t>y11</t>
  </si>
  <si>
    <t>(xn+1-xср)^2</t>
  </si>
  <si>
    <t>n*varx</t>
  </si>
  <si>
    <t>sigma</t>
  </si>
  <si>
    <t>Интервальный прогноз</t>
  </si>
  <si>
    <t>tкрит</t>
  </si>
  <si>
    <t>ln(y)</t>
  </si>
  <si>
    <t>Линейн</t>
  </si>
  <si>
    <t>Коэффициент детерминированности R^2</t>
  </si>
  <si>
    <t>s.e.(y)</t>
  </si>
  <si>
    <t>tвыб</t>
  </si>
  <si>
    <t>Фактор</t>
  </si>
  <si>
    <t>Эластиность</t>
  </si>
  <si>
    <t>Уравнение</t>
  </si>
  <si>
    <t>y^=0,62+58,74/x1</t>
  </si>
  <si>
    <t>y^=9,3+9,83*x2</t>
  </si>
  <si>
    <t>y^=11,75x3^1,6281</t>
  </si>
  <si>
    <t>15,62⋅1,016^x4</t>
  </si>
  <si>
    <t>Ex1=-58,74/x1*y</t>
  </si>
  <si>
    <t>Ex2=9,83*x2/y</t>
  </si>
  <si>
    <t>Ex3=1,6281</t>
  </si>
  <si>
    <t>Ex4=0,0159⋅x4</t>
  </si>
  <si>
    <t>Эластичность отрицательная, связь обратно пропорциональная: если объем производства возрастает на 1%, себестоимость единицы продукции снижается</t>
  </si>
  <si>
    <t>Эластичность положительная: если трудоемкость увеличивается на 1%, себестоимость растет, тем быстрее, чем больше доля затрат труда.</t>
  </si>
  <si>
    <t>Эластичность равна 1,6281: при росте оптовой цены на 1% себестоимость возрастает на 1,63%.</t>
  </si>
  <si>
    <t>Эластичность зависит от x4x4: при увеличении доли прибыли на 1%, себестоимость растет на 1,59%*x4.</t>
  </si>
  <si>
    <t>Функция</t>
  </si>
  <si>
    <t>Линейна по переменным</t>
  </si>
  <si>
    <t>Линейна по параметрам</t>
  </si>
  <si>
    <t>Комментарий</t>
  </si>
  <si>
    <t>Нет</t>
  </si>
  <si>
    <t>Да</t>
  </si>
  <si>
    <t>Переменная в логарифме, параметры линейные</t>
  </si>
  <si>
    <t>Доля прибыли, изымаемая государством, %, x4</t>
  </si>
  <si>
    <t>Оптовая цена за одну тонну энергоносителя, ден.ед., х3</t>
  </si>
  <si>
    <t>Трудоемкость единицы продукции, чел.-ч., х2</t>
  </si>
  <si>
    <t>Объем производства, ден.ед., х1</t>
  </si>
  <si>
    <t>ln⁡y=a+b*ln(x)+e</t>
  </si>
  <si>
    <t>y=a+b*ln(x)+e</t>
  </si>
  <si>
    <t>y=a+b*x/10</t>
  </si>
  <si>
    <t>x - нелинейная (логарифм), параметры остаются линейными</t>
  </si>
  <si>
    <t>Переменная входит линейно, по параметрам тоже линейно - это линейная регрессия</t>
  </si>
  <si>
    <t>Параметр b в степени при переменной, ни по переменным, ни по параметрам не линейна</t>
  </si>
  <si>
    <t>Параметр a в степени переменной, переменная тоже возводится, полностью нелинейная</t>
  </si>
  <si>
    <t>И по переменным, и по параметрам bx^c- нелинейная конструкция</t>
  </si>
  <si>
    <t>Точность оценивания плохая</t>
  </si>
  <si>
    <t>y^=-472,73+0,13x</t>
  </si>
  <si>
    <t>Расходы на сотувую связь будут расти на 0,13% при увеличении дохода в рублях.</t>
  </si>
  <si>
    <t>b0 не имеет экономического смысла, так как доход не может иметь индекс 0.</t>
  </si>
  <si>
    <t>Качество оценивания хорошее</t>
  </si>
  <si>
    <t>y=a+bx^3+e</t>
  </si>
  <si>
    <t>Переменная x входит нелинейно, но по параметрам линейна</t>
  </si>
  <si>
    <t>y=a+b*x^c+e</t>
  </si>
  <si>
    <t>y^a=b+cx^2+e</t>
  </si>
  <si>
    <t>y=1+a*(1−x^b)+e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</si>
</sst>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Symbol"/>
      <family val="1"/>
      <charset val="2"/>
    </font>
    <font>
      <b/>
      <sz val="11"/>
      <color theme="1"/>
      <name val="Calibri"/>
      <family val="2"/>
      <charset val="204"/>
      <scheme val="minor"/>
    </font>
    <font>
      <sz val="11"/>
      <color theme="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8" tint="-0.249977111117893"/>
      <name val="Calibri"/>
      <family val="2"/>
      <charset val="204"/>
      <scheme val="minor"/>
    </font>
    <font>
      <b/>
      <sz val="11"/>
      <color theme="6" tint="-0.249977111117893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theme="9" tint="-0.249977111117893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5" fillId="0" borderId="0" xfId="0" applyFont="1"/>
    <xf numFmtId="0" fontId="0" fillId="0" borderId="2" xfId="0" applyBorder="1"/>
    <xf numFmtId="0" fontId="0" fillId="7" borderId="1" xfId="0" applyFill="1" applyBorder="1"/>
    <xf numFmtId="0" fontId="6" fillId="0" borderId="0" xfId="0" applyFont="1" applyAlignment="1">
      <alignment horizontal="center"/>
    </xf>
    <xf numFmtId="0" fontId="4" fillId="0" borderId="0" xfId="0" applyFont="1"/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1" borderId="1" xfId="0" applyFill="1" applyBorder="1"/>
    <xf numFmtId="0" fontId="0" fillId="10" borderId="1" xfId="0" applyFill="1" applyBorder="1"/>
    <xf numFmtId="0" fontId="0" fillId="9" borderId="1" xfId="0" applyFill="1" applyBorder="1"/>
    <xf numFmtId="0" fontId="0" fillId="12" borderId="1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7" fillId="0" borderId="0" xfId="0" applyFont="1"/>
    <xf numFmtId="0" fontId="0" fillId="0" borderId="3" xfId="0" applyBorder="1"/>
    <xf numFmtId="0" fontId="0" fillId="0" borderId="0" xfId="0" applyAlignment="1">
      <alignment horizontal="center" vertical="center"/>
    </xf>
    <xf numFmtId="0" fontId="0" fillId="13" borderId="0" xfId="0" applyFill="1"/>
    <xf numFmtId="0" fontId="0" fillId="14" borderId="0" xfId="0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Показательная</a:t>
            </a:r>
            <a:r>
              <a:rPr lang="ru-RU" baseline="0"/>
              <a:t> функция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Лист1!$A$4:$A$10</c:f>
              <c:numCache>
                <c:formatCode>General</c:formatCode>
                <c:ptCount val="7"/>
                <c:pt idx="0">
                  <c:v>5020</c:v>
                </c:pt>
                <c:pt idx="1">
                  <c:v>5400</c:v>
                </c:pt>
                <c:pt idx="2">
                  <c:v>6700</c:v>
                </c:pt>
                <c:pt idx="3">
                  <c:v>8100</c:v>
                </c:pt>
                <c:pt idx="4">
                  <c:v>7100</c:v>
                </c:pt>
                <c:pt idx="5">
                  <c:v>8300</c:v>
                </c:pt>
                <c:pt idx="6">
                  <c:v>6520</c:v>
                </c:pt>
              </c:numCache>
            </c:numRef>
          </c:xVal>
          <c:yVal>
            <c:numRef>
              <c:f>Лист1!$B$4:$B$10</c:f>
              <c:numCache>
                <c:formatCode>General</c:formatCode>
                <c:ptCount val="7"/>
                <c:pt idx="0">
                  <c:v>140</c:v>
                </c:pt>
                <c:pt idx="1">
                  <c:v>150</c:v>
                </c:pt>
                <c:pt idx="2">
                  <c:v>200</c:v>
                </c:pt>
                <c:pt idx="3">
                  <c:v>750</c:v>
                </c:pt>
                <c:pt idx="4">
                  <c:v>400</c:v>
                </c:pt>
                <c:pt idx="5">
                  <c:v>500</c:v>
                </c:pt>
                <c:pt idx="6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2E-445D-82F8-0B518423B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232424"/>
        <c:axId val="704225864"/>
      </c:scatterChart>
      <c:valAx>
        <c:axId val="704232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225864"/>
        <c:crosses val="autoZero"/>
        <c:crossBetween val="midCat"/>
      </c:valAx>
      <c:valAx>
        <c:axId val="704225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232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552450</xdr:colOff>
      <xdr:row>21</xdr:row>
      <xdr:rowOff>157162</xdr:rowOff>
    </xdr:from>
    <xdr:to>
      <xdr:col>19</xdr:col>
      <xdr:colOff>485775</xdr:colOff>
      <xdr:row>36</xdr:row>
      <xdr:rowOff>42862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29972D7-AB28-4DD0-93A2-51FE261F1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4"/>
  <sheetViews>
    <sheetView tabSelected="1" topLeftCell="A31" workbookViewId="0">
      <selection activeCell="X52" sqref="X52"/>
    </sheetView>
  </sheetViews>
  <sheetFormatPr defaultRowHeight="15" x14ac:dyDescent="0.25"/>
  <cols>
    <col min="12" max="12" width="11.28515625" customWidth="1"/>
    <col min="14" max="14" width="14.7109375" customWidth="1"/>
    <col min="15" max="15" width="17.5703125" customWidth="1"/>
    <col min="16" max="16" width="16.28515625" customWidth="1"/>
    <col min="17" max="17" width="33.140625" customWidth="1"/>
  </cols>
  <sheetData>
    <row r="1" spans="1:17" x14ac:dyDescent="0.25">
      <c r="A1" s="25" t="s">
        <v>28</v>
      </c>
    </row>
    <row r="3" spans="1:17" x14ac:dyDescent="0.25">
      <c r="A3" s="3" t="s">
        <v>0</v>
      </c>
      <c r="B3" s="3" t="s">
        <v>1</v>
      </c>
      <c r="C3" s="4" t="s">
        <v>4</v>
      </c>
      <c r="D3" s="6" t="s">
        <v>5</v>
      </c>
      <c r="E3" s="8" t="s">
        <v>6</v>
      </c>
      <c r="F3" s="17" t="s">
        <v>20</v>
      </c>
      <c r="G3" s="18" t="s">
        <v>21</v>
      </c>
      <c r="I3" s="5" t="s">
        <v>22</v>
      </c>
      <c r="J3" s="21" t="s">
        <v>23</v>
      </c>
      <c r="K3" s="7" t="s">
        <v>25</v>
      </c>
      <c r="L3" s="20" t="s">
        <v>24</v>
      </c>
      <c r="M3" s="22" t="s">
        <v>26</v>
      </c>
      <c r="N3" s="19" t="s">
        <v>27</v>
      </c>
    </row>
    <row r="4" spans="1:17" x14ac:dyDescent="0.25">
      <c r="A4" s="2">
        <v>5020</v>
      </c>
      <c r="B4" s="2">
        <v>140</v>
      </c>
      <c r="C4" s="2">
        <f>A4*B4</f>
        <v>702800</v>
      </c>
      <c r="D4" s="2">
        <f>A4*A4</f>
        <v>25200400</v>
      </c>
      <c r="E4" s="2">
        <f>B4*B4</f>
        <v>19600</v>
      </c>
      <c r="F4" s="2">
        <f>B$27+B$26*A4</f>
        <v>173.33802039102125</v>
      </c>
      <c r="G4" s="2">
        <f>B4-F4</f>
        <v>-33.338020391021246</v>
      </c>
      <c r="I4" s="2">
        <f>_xlfn.VAR.S(G4:G11)</f>
        <v>17241.326192034117</v>
      </c>
      <c r="J4" s="2">
        <f>COUNT(G4:G11)/(COUNT(G4:G11)-2)*I4</f>
        <v>22988.434922712157</v>
      </c>
      <c r="K4" s="2">
        <f>SQRT(J4/(COUNT(G4:G10)*D18))</f>
        <v>4.9380460580496596E-2</v>
      </c>
      <c r="L4" s="2">
        <f>SQRT(M4*N4)</f>
        <v>308.06044461678601</v>
      </c>
      <c r="M4" s="2">
        <f>J4/COUNT(G4:G11)</f>
        <v>2873.5543653390196</v>
      </c>
      <c r="N4" s="2">
        <f>1+(A18^2/D18)</f>
        <v>33.02573241077188</v>
      </c>
    </row>
    <row r="5" spans="1:17" x14ac:dyDescent="0.25">
      <c r="A5" s="2">
        <v>5400</v>
      </c>
      <c r="B5" s="2">
        <v>150</v>
      </c>
      <c r="C5" s="2">
        <f t="shared" ref="C5:C11" si="0">A5*B5</f>
        <v>810000</v>
      </c>
      <c r="D5" s="2">
        <f t="shared" ref="D5:E11" si="1">A5*A5</f>
        <v>29160000</v>
      </c>
      <c r="E5" s="2">
        <f t="shared" si="1"/>
        <v>22500</v>
      </c>
      <c r="F5" s="2">
        <f t="shared" ref="F5:F11" si="2">B$27+B$26*A5</f>
        <v>222.24370843716792</v>
      </c>
      <c r="G5" s="2">
        <f t="shared" ref="G5:G11" si="3">B5-F5</f>
        <v>-72.243708437167925</v>
      </c>
    </row>
    <row r="6" spans="1:17" x14ac:dyDescent="0.25">
      <c r="A6" s="2">
        <v>6700</v>
      </c>
      <c r="B6" s="2">
        <v>200</v>
      </c>
      <c r="C6" s="2">
        <f t="shared" si="0"/>
        <v>1340000</v>
      </c>
      <c r="D6" s="2">
        <f t="shared" si="1"/>
        <v>44890000</v>
      </c>
      <c r="E6" s="2">
        <f t="shared" si="1"/>
        <v>40000</v>
      </c>
      <c r="F6" s="2">
        <f t="shared" si="2"/>
        <v>389.55264122661686</v>
      </c>
      <c r="G6" s="2">
        <f t="shared" si="3"/>
        <v>-189.55264122661686</v>
      </c>
    </row>
    <row r="7" spans="1:17" x14ac:dyDescent="0.25">
      <c r="A7" s="2">
        <v>8100</v>
      </c>
      <c r="B7" s="2">
        <v>750</v>
      </c>
      <c r="C7" s="2">
        <f t="shared" si="0"/>
        <v>6075000</v>
      </c>
      <c r="D7" s="2">
        <f t="shared" si="1"/>
        <v>65610000</v>
      </c>
      <c r="E7" s="2">
        <f t="shared" si="1"/>
        <v>562500</v>
      </c>
      <c r="F7" s="2">
        <f t="shared" si="2"/>
        <v>569.7314919229467</v>
      </c>
      <c r="G7" s="2">
        <f t="shared" si="3"/>
        <v>180.2685080770533</v>
      </c>
      <c r="I7" s="23" t="s">
        <v>31</v>
      </c>
      <c r="J7" s="13"/>
      <c r="K7" s="7" t="s">
        <v>25</v>
      </c>
      <c r="L7" s="13"/>
      <c r="M7" s="24" t="s">
        <v>30</v>
      </c>
      <c r="N7" t="s">
        <v>33</v>
      </c>
    </row>
    <row r="8" spans="1:17" x14ac:dyDescent="0.25">
      <c r="A8" s="2">
        <v>7100</v>
      </c>
      <c r="B8" s="2">
        <v>400</v>
      </c>
      <c r="C8" s="2">
        <f t="shared" si="0"/>
        <v>2840000</v>
      </c>
      <c r="D8" s="2">
        <f t="shared" si="1"/>
        <v>50410000</v>
      </c>
      <c r="E8" s="2">
        <f t="shared" si="1"/>
        <v>160000</v>
      </c>
      <c r="F8" s="2">
        <f t="shared" si="2"/>
        <v>441.03231285413972</v>
      </c>
      <c r="G8" s="2">
        <f t="shared" si="3"/>
        <v>-41.032312854139718</v>
      </c>
      <c r="I8">
        <v>1.2999999999999999E-2</v>
      </c>
      <c r="M8">
        <v>0.128</v>
      </c>
    </row>
    <row r="9" spans="1:17" x14ac:dyDescent="0.25">
      <c r="A9" s="2">
        <v>8300</v>
      </c>
      <c r="B9" s="2">
        <v>500</v>
      </c>
      <c r="C9" s="2">
        <f t="shared" si="0"/>
        <v>4150000</v>
      </c>
      <c r="D9" s="2">
        <f t="shared" si="1"/>
        <v>68890000</v>
      </c>
      <c r="E9" s="2">
        <f t="shared" si="1"/>
        <v>250000</v>
      </c>
      <c r="F9" s="2">
        <f t="shared" si="2"/>
        <v>595.47132773670808</v>
      </c>
      <c r="G9" s="2">
        <f t="shared" si="3"/>
        <v>-95.471327736708076</v>
      </c>
    </row>
    <row r="10" spans="1:17" x14ac:dyDescent="0.25">
      <c r="A10" s="2">
        <v>6520</v>
      </c>
      <c r="B10" s="2">
        <v>450</v>
      </c>
      <c r="C10" s="2">
        <f t="shared" si="0"/>
        <v>2934000</v>
      </c>
      <c r="D10" s="2">
        <f t="shared" si="1"/>
        <v>42510400</v>
      </c>
      <c r="E10" s="2">
        <f t="shared" si="1"/>
        <v>202500</v>
      </c>
      <c r="F10" s="2">
        <f>B$27+B$26*A10</f>
        <v>366.38678899423167</v>
      </c>
      <c r="G10" s="2">
        <f t="shared" si="3"/>
        <v>83.613211005768335</v>
      </c>
    </row>
    <row r="11" spans="1:17" x14ac:dyDescent="0.25">
      <c r="A11" s="2">
        <v>5400</v>
      </c>
      <c r="B11" s="2">
        <v>390</v>
      </c>
      <c r="C11" s="2">
        <f t="shared" si="0"/>
        <v>2106000</v>
      </c>
      <c r="D11" s="2">
        <f t="shared" si="1"/>
        <v>29160000</v>
      </c>
      <c r="E11" s="2">
        <f t="shared" si="1"/>
        <v>152100</v>
      </c>
      <c r="F11" s="2">
        <f>B$27+B$26*A11</f>
        <v>222.24370843716792</v>
      </c>
      <c r="G11" s="2">
        <f t="shared" si="3"/>
        <v>167.75629156283208</v>
      </c>
      <c r="N11" s="28" t="s">
        <v>12</v>
      </c>
      <c r="O11">
        <f>B27/L4</f>
        <v>-1.5345425444751521</v>
      </c>
    </row>
    <row r="12" spans="1:17" x14ac:dyDescent="0.25">
      <c r="A12" s="26">
        <v>6000</v>
      </c>
      <c r="B12">
        <f>B27+B26*A12</f>
        <v>299.46321587845205</v>
      </c>
      <c r="D12" s="26"/>
      <c r="N12" s="29" t="s">
        <v>13</v>
      </c>
      <c r="O12">
        <f>B21</f>
        <v>2.570581835636315</v>
      </c>
    </row>
    <row r="14" spans="1:17" x14ac:dyDescent="0.25">
      <c r="N14" s="12" t="s">
        <v>29</v>
      </c>
      <c r="O14" s="12" t="s">
        <v>39</v>
      </c>
      <c r="P14" s="12" t="s">
        <v>13</v>
      </c>
      <c r="Q14" t="s">
        <v>86</v>
      </c>
    </row>
    <row r="15" spans="1:17" x14ac:dyDescent="0.25">
      <c r="C15" s="5">
        <f>AVERAGE(C4:C11)</f>
        <v>2619725</v>
      </c>
      <c r="D15" s="7">
        <f>AVERAGE(D4:D11)</f>
        <v>44478850</v>
      </c>
      <c r="E15" s="9">
        <f>AVERAGE(E4:E11)</f>
        <v>176150</v>
      </c>
    </row>
    <row r="17" spans="1:14" x14ac:dyDescent="0.25">
      <c r="A17" s="10" t="s">
        <v>2</v>
      </c>
      <c r="B17" s="10" t="s">
        <v>3</v>
      </c>
      <c r="C17" s="11" t="s">
        <v>7</v>
      </c>
      <c r="D17" s="11" t="s">
        <v>8</v>
      </c>
      <c r="E17" s="11" t="s">
        <v>9</v>
      </c>
      <c r="F17" s="11" t="s">
        <v>10</v>
      </c>
      <c r="H17" s="13">
        <v>-1</v>
      </c>
      <c r="I17" s="13"/>
      <c r="J17" s="13"/>
      <c r="K17" s="13">
        <v>0</v>
      </c>
      <c r="L17" s="13"/>
      <c r="M17" s="13"/>
      <c r="N17" s="13">
        <v>1</v>
      </c>
    </row>
    <row r="18" spans="1:14" x14ac:dyDescent="0.25">
      <c r="A18" s="1">
        <f>AVERAGE(A4:A11)</f>
        <v>6567.5</v>
      </c>
      <c r="B18" s="1">
        <f>AVERAGE(B4:B11)</f>
        <v>372.5</v>
      </c>
      <c r="C18" s="2">
        <f>C15-(A18*B18)</f>
        <v>173331.25</v>
      </c>
      <c r="D18" s="2">
        <f>D15-A18^2</f>
        <v>1346793.75</v>
      </c>
      <c r="E18" s="2">
        <f>E15-B18^2</f>
        <v>37393.75</v>
      </c>
      <c r="F18" s="2">
        <f>C18/(D18*E18)^0.5</f>
        <v>0.77237251821172526</v>
      </c>
      <c r="M18" s="14">
        <v>0.77</v>
      </c>
    </row>
    <row r="19" spans="1:14" x14ac:dyDescent="0.25">
      <c r="M19" t="s">
        <v>11</v>
      </c>
    </row>
    <row r="20" spans="1:14" x14ac:dyDescent="0.25">
      <c r="A20" s="12" t="s">
        <v>12</v>
      </c>
      <c r="B20" s="12" t="s">
        <v>13</v>
      </c>
    </row>
    <row r="21" spans="1:14" x14ac:dyDescent="0.25">
      <c r="A21">
        <f>(F18*(5^0.5))/(1-F18^2)^0.5</f>
        <v>2.7190798673812639</v>
      </c>
      <c r="B21">
        <f>_xlfn.T.INV.2T(0.05,5)</f>
        <v>2.570581835636315</v>
      </c>
      <c r="D21" s="16" t="s">
        <v>16</v>
      </c>
      <c r="N21" s="25" t="s">
        <v>28</v>
      </c>
    </row>
    <row r="23" spans="1:14" x14ac:dyDescent="0.25">
      <c r="A23" s="12" t="s">
        <v>12</v>
      </c>
      <c r="B23" t="s">
        <v>14</v>
      </c>
      <c r="C23" s="12" t="s">
        <v>13</v>
      </c>
      <c r="D23" s="12" t="s">
        <v>15</v>
      </c>
      <c r="E23" s="15"/>
      <c r="F23" s="12"/>
      <c r="G23" s="12"/>
    </row>
    <row r="26" spans="1:14" x14ac:dyDescent="0.25">
      <c r="A26" t="s">
        <v>17</v>
      </c>
      <c r="B26">
        <f>C18/D18</f>
        <v>0.12869917906880693</v>
      </c>
      <c r="D26" t="s">
        <v>87</v>
      </c>
      <c r="F26" t="s">
        <v>19</v>
      </c>
    </row>
    <row r="27" spans="1:14" x14ac:dyDescent="0.25">
      <c r="A27" t="s">
        <v>18</v>
      </c>
      <c r="B27">
        <f>B18-(B26*A18)</f>
        <v>-472.73185853438952</v>
      </c>
    </row>
    <row r="29" spans="1:14" x14ac:dyDescent="0.25">
      <c r="A29" t="s">
        <v>88</v>
      </c>
    </row>
    <row r="30" spans="1:14" x14ac:dyDescent="0.25">
      <c r="A30" t="s">
        <v>89</v>
      </c>
    </row>
    <row r="32" spans="1:14" x14ac:dyDescent="0.25">
      <c r="A32" s="25" t="s">
        <v>35</v>
      </c>
      <c r="B32">
        <f>I4/E18</f>
        <v>0.46107507784146062</v>
      </c>
      <c r="D32" t="s">
        <v>36</v>
      </c>
    </row>
    <row r="34" spans="1:24" x14ac:dyDescent="0.25">
      <c r="A34" s="12" t="s">
        <v>37</v>
      </c>
      <c r="B34" s="12">
        <f>(B32*COUNT(G4:G11))/(1-B32)</f>
        <v>6.8443682432756061</v>
      </c>
    </row>
    <row r="35" spans="1:24" x14ac:dyDescent="0.25">
      <c r="D35" s="12" t="s">
        <v>37</v>
      </c>
      <c r="E35" t="s">
        <v>14</v>
      </c>
      <c r="F35" s="30" t="s">
        <v>38</v>
      </c>
      <c r="G35" t="s">
        <v>90</v>
      </c>
    </row>
    <row r="36" spans="1:24" x14ac:dyDescent="0.25">
      <c r="A36" s="30" t="s">
        <v>38</v>
      </c>
      <c r="B36">
        <f>_xlfn.F.INV.RT(0.05,1,5)</f>
        <v>6.607890973703368</v>
      </c>
    </row>
    <row r="38" spans="1:24" x14ac:dyDescent="0.25">
      <c r="A38" t="s">
        <v>40</v>
      </c>
      <c r="O38" s="42" t="s">
        <v>0</v>
      </c>
      <c r="P38" s="42" t="s">
        <v>47</v>
      </c>
      <c r="V38" s="36" t="s">
        <v>48</v>
      </c>
      <c r="W38" s="36"/>
    </row>
    <row r="39" spans="1:24" x14ac:dyDescent="0.25">
      <c r="O39" s="2">
        <v>5020</v>
      </c>
      <c r="P39" s="2" cm="1">
        <f t="array" ref="P39:P46">LN(B4:B11)</f>
        <v>4.9416424226093039</v>
      </c>
      <c r="U39" t="s">
        <v>17</v>
      </c>
      <c r="V39" cm="1">
        <f t="array" ref="V39:W43">LINEST(_xlfn.ANCHORARRAY(P39), O39:O46, TRUE, TRUE)</f>
        <v>3.7605783262780005E-4</v>
      </c>
      <c r="W39">
        <v>3.2992570913671968</v>
      </c>
      <c r="X39" t="s">
        <v>18</v>
      </c>
    </row>
    <row r="40" spans="1:24" x14ac:dyDescent="0.25">
      <c r="A40" s="12" t="s">
        <v>41</v>
      </c>
      <c r="B40" s="12">
        <f>B27+B26*A12</f>
        <v>299.46321587845205</v>
      </c>
      <c r="O40" s="2">
        <v>5400</v>
      </c>
      <c r="P40" s="2">
        <v>5.0106352940962555</v>
      </c>
      <c r="U40" t="s">
        <v>25</v>
      </c>
      <c r="V40">
        <v>1.2952169387584945E-4</v>
      </c>
      <c r="W40">
        <v>0.86381211445292327</v>
      </c>
      <c r="X40" t="s">
        <v>24</v>
      </c>
    </row>
    <row r="41" spans="1:24" x14ac:dyDescent="0.25">
      <c r="O41" s="2">
        <v>6700</v>
      </c>
      <c r="P41" s="2">
        <v>5.2983173665480363</v>
      </c>
      <c r="R41" t="s">
        <v>49</v>
      </c>
      <c r="V41">
        <v>0.58419772270254045</v>
      </c>
      <c r="W41">
        <v>0.42514595863971982</v>
      </c>
      <c r="X41" t="s">
        <v>50</v>
      </c>
    </row>
    <row r="42" spans="1:24" x14ac:dyDescent="0.25">
      <c r="O42" s="2">
        <v>8100</v>
      </c>
      <c r="P42" s="2">
        <v>6.620073206530356</v>
      </c>
      <c r="U42" t="s">
        <v>37</v>
      </c>
      <c r="V42">
        <v>8.4299353986165855</v>
      </c>
      <c r="W42">
        <v>6</v>
      </c>
      <c r="X42" t="s">
        <v>38</v>
      </c>
    </row>
    <row r="43" spans="1:24" x14ac:dyDescent="0.25">
      <c r="O43" s="2">
        <v>7100</v>
      </c>
      <c r="P43" s="2">
        <v>5.9914645471079817</v>
      </c>
      <c r="U43" t="s">
        <v>51</v>
      </c>
      <c r="V43">
        <v>1.5237031195839799</v>
      </c>
      <c r="W43">
        <v>1.0844945168861182</v>
      </c>
      <c r="X43" t="s">
        <v>46</v>
      </c>
    </row>
    <row r="44" spans="1:24" x14ac:dyDescent="0.25">
      <c r="O44" s="2">
        <v>8300</v>
      </c>
      <c r="P44" s="2">
        <v>6.2146080984221914</v>
      </c>
    </row>
    <row r="45" spans="1:24" x14ac:dyDescent="0.25">
      <c r="O45" s="2">
        <v>6520</v>
      </c>
      <c r="P45" s="2">
        <v>6.1092475827643655</v>
      </c>
    </row>
    <row r="46" spans="1:24" x14ac:dyDescent="0.25">
      <c r="A46" t="s">
        <v>42</v>
      </c>
      <c r="B46">
        <f>(A12-A18)^2</f>
        <v>322056.25</v>
      </c>
      <c r="O46" s="2">
        <v>5400</v>
      </c>
      <c r="P46" s="2">
        <v>5.9661467391236922</v>
      </c>
    </row>
    <row r="47" spans="1:24" x14ac:dyDescent="0.25">
      <c r="A47" t="s">
        <v>43</v>
      </c>
      <c r="B47">
        <f>COUNT(A4:A11)*D18</f>
        <v>10774350</v>
      </c>
      <c r="N47" s="25" t="s">
        <v>32</v>
      </c>
    </row>
    <row r="48" spans="1:24" x14ac:dyDescent="0.25">
      <c r="B48" s="31">
        <f>B46/B47</f>
        <v>2.9891014307127577E-2</v>
      </c>
    </row>
    <row r="49" spans="1:22" ht="19.5" customHeight="1" x14ac:dyDescent="0.25">
      <c r="N49" s="27" t="s">
        <v>52</v>
      </c>
      <c r="O49" s="27" t="s">
        <v>54</v>
      </c>
      <c r="P49" s="27" t="s">
        <v>53</v>
      </c>
    </row>
    <row r="50" spans="1:22" ht="45" x14ac:dyDescent="0.25">
      <c r="A50" t="s">
        <v>23</v>
      </c>
      <c r="B50">
        <f>J4</f>
        <v>22988.434922712157</v>
      </c>
      <c r="N50" s="40" t="s">
        <v>77</v>
      </c>
      <c r="O50" s="41" t="s">
        <v>55</v>
      </c>
      <c r="P50" s="41" t="s">
        <v>59</v>
      </c>
      <c r="Q50" s="38" t="s">
        <v>63</v>
      </c>
      <c r="R50" s="38"/>
      <c r="S50" s="38"/>
      <c r="T50" s="38"/>
      <c r="U50" s="38"/>
      <c r="V50" s="38"/>
    </row>
    <row r="51" spans="1:22" ht="60" x14ac:dyDescent="0.25">
      <c r="N51" s="40" t="s">
        <v>76</v>
      </c>
      <c r="O51" s="41" t="s">
        <v>56</v>
      </c>
      <c r="P51" s="41" t="s">
        <v>60</v>
      </c>
      <c r="Q51" s="38" t="s">
        <v>64</v>
      </c>
      <c r="R51" s="38"/>
      <c r="S51" s="38"/>
      <c r="T51" s="38"/>
      <c r="U51" s="38"/>
      <c r="V51" s="38"/>
    </row>
    <row r="52" spans="1:22" ht="60" x14ac:dyDescent="0.25">
      <c r="A52" s="32" t="s">
        <v>44</v>
      </c>
      <c r="B52">
        <f>B50*(1+(1/10)+B48)</f>
        <v>25974.426052156636</v>
      </c>
      <c r="C52" s="32">
        <f>SQRT(B52)</f>
        <v>161.16583401005511</v>
      </c>
      <c r="N52" s="40" t="s">
        <v>75</v>
      </c>
      <c r="O52" s="41" t="s">
        <v>57</v>
      </c>
      <c r="P52" s="41" t="s">
        <v>61</v>
      </c>
      <c r="Q52" s="38" t="s">
        <v>65</v>
      </c>
      <c r="R52" s="38"/>
      <c r="S52" s="38"/>
      <c r="T52" s="38"/>
      <c r="U52" s="38"/>
      <c r="V52" s="38"/>
    </row>
    <row r="53" spans="1:22" ht="67.5" customHeight="1" x14ac:dyDescent="0.25">
      <c r="F53" s="36" t="s">
        <v>45</v>
      </c>
      <c r="G53" s="36"/>
      <c r="H53" s="36"/>
      <c r="N53" s="40" t="s">
        <v>74</v>
      </c>
      <c r="O53" s="41" t="s">
        <v>58</v>
      </c>
      <c r="P53" s="41" t="s">
        <v>62</v>
      </c>
      <c r="Q53" s="38" t="s">
        <v>66</v>
      </c>
      <c r="R53" s="38"/>
      <c r="S53" s="38"/>
      <c r="T53" s="38"/>
      <c r="U53" s="38"/>
      <c r="V53" s="38"/>
    </row>
    <row r="54" spans="1:22" x14ac:dyDescent="0.25">
      <c r="F54" s="33">
        <f>B40-(B55*C52)</f>
        <v>-114.82674955297307</v>
      </c>
      <c r="G54" s="34" t="s">
        <v>41</v>
      </c>
      <c r="H54" s="35">
        <f>B40+(B55*C52)</f>
        <v>713.75318130987716</v>
      </c>
    </row>
    <row r="55" spans="1:22" x14ac:dyDescent="0.25">
      <c r="A55" s="12" t="s">
        <v>46</v>
      </c>
      <c r="B55" s="12">
        <f>_xlfn.T.INV.2T(0.05,5)</f>
        <v>2.570581835636315</v>
      </c>
      <c r="N55" s="25" t="s">
        <v>34</v>
      </c>
    </row>
    <row r="57" spans="1:22" ht="36" customHeight="1" thickBot="1" x14ac:dyDescent="0.3">
      <c r="N57" s="37" t="s">
        <v>67</v>
      </c>
      <c r="O57" s="37" t="s">
        <v>68</v>
      </c>
      <c r="P57" s="37" t="s">
        <v>69</v>
      </c>
      <c r="Q57" s="37" t="s">
        <v>70</v>
      </c>
    </row>
    <row r="58" spans="1:22" ht="30.75" thickBot="1" x14ac:dyDescent="0.3">
      <c r="N58" s="39" t="s">
        <v>91</v>
      </c>
      <c r="O58" s="39" t="s">
        <v>71</v>
      </c>
      <c r="P58" s="39" t="s">
        <v>72</v>
      </c>
      <c r="Q58" s="39" t="s">
        <v>92</v>
      </c>
    </row>
    <row r="59" spans="1:22" ht="30.75" thickBot="1" x14ac:dyDescent="0.3">
      <c r="N59" s="39" t="s">
        <v>79</v>
      </c>
      <c r="O59" s="39" t="s">
        <v>71</v>
      </c>
      <c r="P59" s="39" t="s">
        <v>72</v>
      </c>
      <c r="Q59" s="39" t="s">
        <v>81</v>
      </c>
    </row>
    <row r="60" spans="1:22" ht="30.75" thickBot="1" x14ac:dyDescent="0.3">
      <c r="N60" s="39" t="s">
        <v>78</v>
      </c>
      <c r="O60" s="39" t="s">
        <v>71</v>
      </c>
      <c r="P60" s="39" t="s">
        <v>72</v>
      </c>
      <c r="Q60" s="39" t="s">
        <v>73</v>
      </c>
    </row>
    <row r="61" spans="1:22" ht="45.75" thickBot="1" x14ac:dyDescent="0.3">
      <c r="N61" s="39" t="s">
        <v>93</v>
      </c>
      <c r="O61" s="39" t="s">
        <v>71</v>
      </c>
      <c r="P61" s="39" t="s">
        <v>71</v>
      </c>
      <c r="Q61" s="39" t="s">
        <v>85</v>
      </c>
    </row>
    <row r="62" spans="1:22" ht="60.75" thickBot="1" x14ac:dyDescent="0.3">
      <c r="N62" s="39" t="s">
        <v>94</v>
      </c>
      <c r="O62" s="39" t="s">
        <v>71</v>
      </c>
      <c r="P62" s="39" t="s">
        <v>71</v>
      </c>
      <c r="Q62" s="39" t="s">
        <v>84</v>
      </c>
    </row>
    <row r="63" spans="1:22" ht="45.75" thickBot="1" x14ac:dyDescent="0.3">
      <c r="N63" s="39" t="s">
        <v>95</v>
      </c>
      <c r="O63" s="39" t="s">
        <v>71</v>
      </c>
      <c r="P63" s="39" t="s">
        <v>71</v>
      </c>
      <c r="Q63" s="39" t="s">
        <v>83</v>
      </c>
    </row>
    <row r="64" spans="1:22" ht="45.75" thickBot="1" x14ac:dyDescent="0.3">
      <c r="N64" s="39" t="s">
        <v>80</v>
      </c>
      <c r="O64" s="39" t="s">
        <v>72</v>
      </c>
      <c r="P64" s="39" t="s">
        <v>72</v>
      </c>
      <c r="Q64" s="39" t="s">
        <v>82</v>
      </c>
    </row>
  </sheetData>
  <mergeCells count="6">
    <mergeCell ref="F53:H53"/>
    <mergeCell ref="V38:W38"/>
    <mergeCell ref="Q50:V50"/>
    <mergeCell ref="Q51:V51"/>
    <mergeCell ref="Q52:V52"/>
    <mergeCell ref="Q53:V5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2025-10-06T17:57:43Z</dcterms:modified>
</cp:coreProperties>
</file>